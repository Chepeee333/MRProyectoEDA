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strucciones" sheetId="1" state="visible" r:id="rId3"/>
    <sheet name="RF - Funcionales" sheetId="2" state="visible" r:id="rId4"/>
    <sheet name="RNF - No Funcionales" sheetId="3" state="visible" r:id="rId5"/>
    <sheet name="Resumen" sheetId="4" state="visible" r:id="rId6"/>
  </sheets>
  <definedNames>
    <definedName function="false" hidden="true" localSheetId="1" name="_xlnm._FilterDatabase" vbProcedure="false">'RF - Funcionales'!$A$1:$H$100</definedName>
    <definedName function="false" hidden="true" localSheetId="2" name="_xlnm._FilterDatabase" vbProcedure="false">'RNF - No Funcionales'!$A$1:$I$100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<sst xmlns="http://schemas.openxmlformats.org/spreadsheetml/2006/main" count="193" uniqueCount="136">
  <si>
    <t xml:space="preserve">MATRIZ DE REQUERIMIENTOS - INSTRUCCIONES DE USO</t>
  </si>
  <si>
    <t xml:space="preserve">Propósito de esta matriz</t>
  </si>
  <si>
    <t xml:space="preserve">Esta matriz les permite documentar, priorizar y dar seguimiento a los requerimientos identificados en las entrevistas con el cliente.</t>
  </si>
  <si>
    <t xml:space="preserve">La matriz está diseñada para refinamiento iterativo: pueden ir agregando y modificando requerimientos conforme avanzan las entrevistas.</t>
  </si>
  <si>
    <t xml:space="preserve">Cómo usar esta plantilla:</t>
  </si>
  <si>
    <t xml:space="preserve">1. Vayan a la pestaña 'RF - Requerimientos Funcionales' y documenten todos los requerimientos funcionales identificados.</t>
  </si>
  <si>
    <t xml:space="preserve">2. Vayan a la pestaña 'RNF - Requerimientos No Funcionales' y documenten los no funcionales.</t>
  </si>
  <si>
    <t xml:space="preserve">3. La pestaña 'Resumen' se actualiza automáticamente con estadísticas.</t>
  </si>
  <si>
    <t xml:space="preserve">4. Usen los filtros de las columnas para ordenar por prioridad, estado, etc.</t>
  </si>
  <si>
    <t xml:space="preserve">Descripción de columnas:</t>
  </si>
  <si>
    <t xml:space="preserve">ID: Identificador único. Formato: RF-01, RF-02... para funcionales; RNF-01, RNF-02... para no funcionales.</t>
  </si>
  <si>
    <t xml:space="preserve">Descripción: Redactar en formato 'El sistema debe...' Ser específico y claro.</t>
  </si>
  <si>
    <t xml:space="preserve">Criterio de aceptación: ¿Cómo sabemos que el requerimiento está cumplido? OBLIGATORIO para Must-have.</t>
  </si>
  <si>
    <t xml:space="preserve">Prioridad: Usar metodología MoSCoW:</t>
  </si>
  <si>
    <t xml:space="preserve">  • Must have: Sin esto, el sistema no tiene sentido</t>
  </si>
  <si>
    <t xml:space="preserve">  • Should have: Muy importante, pero no crítico para primera versión</t>
  </si>
  <si>
    <t xml:space="preserve">  • Could have: Deseable si hay tiempo/presupuesto</t>
  </si>
  <si>
    <t xml:space="preserve">  • Won't have: Fuera de alcance en esta versión</t>
  </si>
  <si>
    <t xml:space="preserve">Fuente: ¿Quién solicitó este requerimiento? (nombre del stakeholder o rol)</t>
  </si>
  <si>
    <t xml:space="preserve">Estado: Evolución del requerimiento:</t>
  </si>
  <si>
    <t xml:space="preserve">  • Propuesto: Identificado en entrevista, pendiente de análisis</t>
  </si>
  <si>
    <t xml:space="preserve">  • En revisión: El equipo lo está analizando/refinando</t>
  </si>
  <si>
    <t xml:space="preserve">  • Validado internamente: El equipo confirma que es correcto</t>
  </si>
  <si>
    <t xml:space="preserve">  • Validado con cliente: El cliente lo aprobó</t>
  </si>
  <si>
    <t xml:space="preserve">  • Rechazado: Se decidió no incluirlo (explicar en Notas)</t>
  </si>
  <si>
    <t xml:space="preserve">Versión: Número de versión del requerimiento (empieza en 1.0, si lo modifican pasa a 1.1, etc.)</t>
  </si>
  <si>
    <t xml:space="preserve">Notas: Comentarios, dependencias con otros requerimientos, aclaraciones.</t>
  </si>
  <si>
    <t xml:space="preserve">Errores comunes a evitar:</t>
  </si>
  <si>
    <t xml:space="preserve">❌ Requerimientos ambiguos: 'El sistema debe ser rápido' → ✅ 'El sistema debe responder en menos de 2 segundos'</t>
  </si>
  <si>
    <t xml:space="preserve">❌ Soluciones disfrazadas de requerimientos: 'Debe usar MySQL' → ✅ 'Debe almacenar datos de forma persistente'</t>
  </si>
  <si>
    <t xml:space="preserve">❌ Requerimientos sin criterio de aceptación para Must-have → ✅ Siempre definir cómo validar</t>
  </si>
  <si>
    <t xml:space="preserve">❌ No indicar fuente → ✅ Rastrear quién lo pidió</t>
  </si>
  <si>
    <t xml:space="preserve">¡Éxito documentando sus requerimientos! 🚀</t>
  </si>
  <si>
    <t xml:space="preserve">ID</t>
  </si>
  <si>
    <t xml:space="preserve">Descripción</t>
  </si>
  <si>
    <t xml:space="preserve">Criterio de Aceptación</t>
  </si>
  <si>
    <t xml:space="preserve">Prioridad</t>
  </si>
  <si>
    <t xml:space="preserve">Fuente</t>
  </si>
  <si>
    <t xml:space="preserve">Estado</t>
  </si>
  <si>
    <t xml:space="preserve">Versión</t>
  </si>
  <si>
    <t xml:space="preserve">Notas</t>
  </si>
  <si>
    <t xml:space="preserve">RF-01</t>
  </si>
  <si>
    <t xml:space="preserve">El sistema debe permitir registrar pedidos de clientes de forma digital, incluyendo la selección de productos y cantidades.</t>
  </si>
  <si>
    <t xml:space="preserve">El sistema permite registrar un pedido en menos de 1 minuto. Los productos, cantidad y total se almacenan correctamente.</t>
  </si>
  <si>
    <t xml:space="preserve">Must have</t>
  </si>
  <si>
    <t xml:space="preserve">Cajero</t>
  </si>
  <si>
    <t xml:space="preserve">Propuesto</t>
  </si>
  <si>
    <t xml:space="preserve">1.0</t>
  </si>
  <si>
    <t xml:space="preserve">Se eliminará el uso de tomar nota en papel, así como el registro de los pedidos en libreta.</t>
  </si>
  <si>
    <t xml:space="preserve">RF-02</t>
  </si>
  <si>
    <t xml:space="preserve">El sistema debe calcular automáticamente el total del pedido sumando los precios de los productos seleccionados, eliminando errores de cálculo manual.</t>
  </si>
  <si>
    <t xml:space="preserve">El total mostrado debe coincidir exactamente con la suma de los productos seleccionados en el 100% de los casos.</t>
  </si>
  <si>
    <t xml:space="preserve">Reduce los errores por uso de calculadora en los que se podría omitir datos o ingresar datos incorrectos.</t>
  </si>
  <si>
    <t xml:space="preserve">RF-03</t>
  </si>
  <si>
    <t xml:space="preserve">El sistema debe calcular el cambio a entregar al cliente con base en el monto pagado, evitando errores humanos.</t>
  </si>
  <si>
    <t xml:space="preserve">El sistema calcula correctamente el cambio de acuerdo al monto que se pagara. Se valida ingresando diferentes montos de pago y comparando con el resultado esperado sin margen de error.</t>
  </si>
  <si>
    <t xml:space="preserve">Esto permitirá mejorar la precisión al momento de realizar el cobro al cliente.</t>
  </si>
  <si>
    <t xml:space="preserve">RF-04</t>
  </si>
  <si>
    <t xml:space="preserve">El sistema debe generar un ticket digital con el detalle del pedido, incluyendo productos, precios y total, con opcion de impresión.</t>
  </si>
  <si>
    <t xml:space="preserve">El ticket generado contiene todos los campos: productos, cantidades, precios y total. Debe tener una precisión del 100% para evitar problemas con el monto total.</t>
  </si>
  <si>
    <t xml:space="preserve">Jefe</t>
  </si>
  <si>
    <t xml:space="preserve">Puede integrarse con una impresora térmica para un mejor rendimiento.</t>
  </si>
  <si>
    <t xml:space="preserve">RF-05</t>
  </si>
  <si>
    <t xml:space="preserve">El sistema debe mostrar las ganancias diarias acumuladas a partir de las ventas registradas.</t>
  </si>
  <si>
    <t xml:space="preserve">El sistema deberá calcular correctamente la suma total de ventas al finalizar el día. Este debe coincidir con la suma manual en caso de realizarse.</t>
  </si>
  <si>
    <t xml:space="preserve">Reemplazaría el conteo manual en libreta que se realiza al finalizar el día de venta.</t>
  </si>
  <si>
    <t xml:space="preserve">RF-06</t>
  </si>
  <si>
    <t xml:space="preserve">El sistema debe almacenar un historial de ventas consultable por fecha.</t>
  </si>
  <si>
    <t xml:space="preserve">El sistema permitira la consulta de ventas por fecha y debera mostrar la ventas totales de los dias a consultar. Esta informacion debera coincidir con los registros previamente almacenados.</t>
  </si>
  <si>
    <t xml:space="preserve">Validado internamente</t>
  </si>
  <si>
    <t xml:space="preserve">Sustituye el registro que se lleva en libreta actualmente.</t>
  </si>
  <si>
    <t xml:space="preserve">RF-07</t>
  </si>
  <si>
    <t xml:space="preserve">El sistema debe generar reportes de ventas en formato digital (PDF) para análisis y control.</t>
  </si>
  <si>
    <t xml:space="preserve">El sistema deberá generar un archivo PDF en menos de 1 minuto que contenga todas las ventas del periodo seleccionado. El archivo podrá abrirse sin errores y mostrará la información de forma completa.</t>
  </si>
  <si>
    <t xml:space="preserve">Should have</t>
  </si>
  <si>
    <t xml:space="preserve">En revisión</t>
  </si>
  <si>
    <t xml:space="preserve">Será útil para un mejor control administrativo por parte del dueño/a. Debe operar sin necesidad de conexión a internet, en consistencia con RNF-03.</t>
  </si>
  <si>
    <t xml:space="preserve">RF-08</t>
  </si>
  <si>
    <t xml:space="preserve">El sistema debe mostrar un menú digital actualizado con los productos disponibles y precios.</t>
  </si>
  <si>
    <t xml:space="preserve">El sistema mostrará todos los productos registrados con su precio. Los productos no disponibles se mostrarán visualmente diferenciados (p.ej. en gris o con etiqueta "Agotado") y no podrán ser seleccionados para un pedido.</t>
  </si>
  <si>
    <t xml:space="preserve">Evitara errores humanos en el cargo de cajero al omitir productos al momento de realizar el cobro.</t>
  </si>
  <si>
    <t xml:space="preserve">RF-09</t>
  </si>
  <si>
    <t xml:space="preserve">El sistema debe permitir la gestión de usuarios con diferentes roles y permisos (Cajero y Administrador).</t>
  </si>
  <si>
    <t xml:space="preserve">Cada tipo de usuario accede únicamente a sus funciones permitidas. El usuario tipo Cajero no podrá acceder a las funciones administrativas.</t>
  </si>
  <si>
    <t xml:space="preserve">Mejora la seguridad y el control de acceso según el cargo del usuario.</t>
  </si>
  <si>
    <t xml:space="preserve">RF-10</t>
  </si>
  <si>
    <t xml:space="preserve">El sistema debe permitir registrar información básica del cliente (nombre, teléfono) para futuras referencias.</t>
  </si>
  <si>
    <t xml:space="preserve">El sistema guardará correctamente los datos del cliente (nombre y teléfono). Los registros podrán consultarse posteriormente mediante búsqueda por nombre o fecha de registro.</t>
  </si>
  <si>
    <t xml:space="preserve">Could have</t>
  </si>
  <si>
    <t xml:space="preserve">Cliente</t>
  </si>
  <si>
    <t xml:space="preserve">Será opcional y dependerá de las necesidades del negocio.</t>
  </si>
  <si>
    <t xml:space="preserve">Categoría</t>
  </si>
  <si>
    <t xml:space="preserve">RNF-01</t>
  </si>
  <si>
    <t xml:space="preserve">Rendimiento</t>
  </si>
  <si>
    <t xml:space="preserve">El sistema debera de responder en menos de 3 segundos.</t>
  </si>
  <si>
    <t xml:space="preserve">El sistema debera de responder en un tiempo menor de 3 segundos en al menos el 95% de las operaciones(registro de pedidos, cálculo de total y cambio). No debera de presentar bloqueos ni tiempos de espera prolongados.</t>
  </si>
  <si>
    <t xml:space="preserve">Es importante para evitar retrasos en el cobro al cliente y reducir su tiempo de espera.</t>
  </si>
  <si>
    <t xml:space="preserve">Es importante para evitar retrasos en el cobro al cliente, para reducir su tiempo de espera.</t>
  </si>
  <si>
    <t xml:space="preserve">RNF-02</t>
  </si>
  <si>
    <t xml:space="preserve">Disponibilidad</t>
  </si>
  <si>
    <t xml:space="preserve">El sistema debera de estar disponible durante toda la jornada laboral (aproximada 8hr).</t>
  </si>
  <si>
    <t xml:space="preserve">El sistema debera de estar disponible minimo el 99% del tiempo durante el horario de operación del negocio, sin tener fallas criticas. En caso de error, debe poder reiniciarse en menos de 5 minutos sin pérdida de informacion registrada.</t>
  </si>
  <si>
    <t xml:space="preserve">El sistema deberá funcionar de forma continua sin interrupciones durante toda la jornada laboral.</t>
  </si>
  <si>
    <t xml:space="preserve">El sistema debera de funcionar de forma continua sin interupciones durante toda la jornada laboral durante el día.</t>
  </si>
  <si>
    <t xml:space="preserve">RNF-03</t>
  </si>
  <si>
    <t xml:space="preserve">Restricción</t>
  </si>
  <si>
    <t xml:space="preserve">El sistema se podra instalar y ejecutarse de forma local sin necesidad de conexión a internet</t>
  </si>
  <si>
    <t xml:space="preserve">El sistema debe poder instalarse y ejecutarse en una computadora local sin conexión a internet, con todas las funcionalidades principales (registro de pedidos, cálculo y reportes) deben operar correctamente sin depender de servicios externos.</t>
  </si>
  <si>
    <t xml:space="preserve">No se requerirá conexión a internet para su funcionamiento.</t>
  </si>
  <si>
    <t xml:space="preserve">No se requerira una conexión a internet para su funcionamiento.</t>
  </si>
  <si>
    <t xml:space="preserve">RNF-04</t>
  </si>
  <si>
    <t xml:space="preserve">Usabilidad</t>
  </si>
  <si>
    <t xml:space="preserve">El sistema debera de ser intuitivo, donde cualquier empleado aun sin una capacitación formal debera de poder realizar las funciones de (registro, cobro y generar ticket).</t>
  </si>
  <si>
    <t xml:space="preserve">Un usuario sin experiencia previa debe poder completar tareas básicas (registrar pedidos, cobrar y generar ticket) en menos de 5 minutos sin capacitación formal. Se debe de observar una tasa de error menor al 10% en pruebas de uso inicial.</t>
  </si>
  <si>
    <t xml:space="preserve">Para un cajero sin experiencia técnica en el uso de sistemas, deberá ser intuitivo. La prueba de usabilidad se realizará con al menos 2 usuarios nuevos que completen tareas básicas sin capacitación previa.</t>
  </si>
  <si>
    <t xml:space="preserve">Para un cajero sin experiencia tecnica en el uso de sistemas, debera de ser intuitivo.</t>
  </si>
  <si>
    <t xml:space="preserve">RNF-05</t>
  </si>
  <si>
    <t xml:space="preserve">El sistema deberá consumir pocos recursos de la computadora.</t>
  </si>
  <si>
    <t xml:space="preserve">El sistema debera de ejecutarse utilizando menos del 50% del CPU y menos de 500 MB de memoria RAM en condiciones normales de operación. No debe causar lentitud significativa en el equipo ni afectar otras aplicaciones básicas.</t>
  </si>
  <si>
    <t xml:space="preserve">El sistema podrá estar disponible para equipos de gama baja en adelante.</t>
  </si>
  <si>
    <t xml:space="preserve">El sistema podra estar disponible para equipos de gama baja en adelante.</t>
  </si>
  <si>
    <t xml:space="preserve">RESUMEN DE REQUERIMIENTOS</t>
  </si>
  <si>
    <t xml:space="preserve">Esta hoja se actualizará automáticamente conforme agreguen requerimientos en las otras pestañas.</t>
  </si>
  <si>
    <t xml:space="preserve">Métrica</t>
  </si>
  <si>
    <t xml:space="preserve">Valor</t>
  </si>
  <si>
    <t xml:space="preserve">Total de Requerimientos Funcionales</t>
  </si>
  <si>
    <t xml:space="preserve">Total de Requerimientos No Funcionales</t>
  </si>
  <si>
    <t xml:space="preserve">Total General</t>
  </si>
  <si>
    <t xml:space="preserve">Requerimientos por Prioridad</t>
  </si>
  <si>
    <t xml:space="preserve">Must have (RF + RNF)</t>
  </si>
  <si>
    <t xml:space="preserve">Should have (RF + RNF)</t>
  </si>
  <si>
    <t xml:space="preserve">Could have (RF + RNF)</t>
  </si>
  <si>
    <t xml:space="preserve">Won't have (RF + RNF)</t>
  </si>
  <si>
    <t xml:space="preserve">Requerimientos por Estado</t>
  </si>
  <si>
    <t xml:space="preserve">Validado con cliente</t>
  </si>
  <si>
    <t xml:space="preserve">Rechazado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</si>
</sst>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9"/>
      <name val="Calibri"/>
      <family val="2"/>
      <charset val="1"/>
    </font>
    <font>
      <b val="true"/>
      <sz val="12"/>
      <color rgb="FF1F4E79"/>
      <name val="Calibri"/>
      <family val="2"/>
      <charset val="1"/>
    </font>
    <font>
      <b val="true"/>
      <sz val="11"/>
      <color rgb="FF1F4E79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i val="true"/>
      <sz val="1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E6E6"/>
        <bgColor rgb="FFFDEADA"/>
      </patternFill>
    </fill>
    <fill>
      <patternFill patternType="solid">
        <fgColor theme="9" tint="0.7999"/>
        <bgColor rgb="FFFFE6E6"/>
      </patternFill>
    </fill>
    <fill>
      <patternFill patternType="solid">
        <fgColor rgb="FFF2F2F2"/>
        <bgColor rgb="FFFDEA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9"/>
          <bgColor rgb="FF000000"/>
        </patternFill>
      </fill>
    </dxf>
    <dxf>
      <fill>
        <patternFill patternType="solid">
          <fgColor rgb="FFFDEADA"/>
          <bgColor rgb="FF000000"/>
        </patternFill>
      </fill>
    </dxf>
    <dxf>
      <fill>
        <patternFill patternType="solid">
          <fgColor rgb="FFFFE6E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DEADA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E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8671875" defaultRowHeight="14.25" zeroHeight="false" outlineLevelRow="0" outlineLevelCol="0"/>
  <cols>
    <col collapsed="false" customWidth="true" hidden="false" outlineLevel="0" max="1" min="1" style="0" width="120"/>
  </cols>
  <sheetData>
    <row r="1" customFormat="false" ht="21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15" hidden="false" customHeight="true" outlineLevel="0" collapsed="false">
      <c r="A3" s="2" t="s">
        <v>1</v>
      </c>
    </row>
    <row r="4" customFormat="false" ht="14.25" hidden="false" customHeight="false" outlineLevel="0" collapsed="false">
      <c r="A4" s="3" t="s">
        <v>2</v>
      </c>
    </row>
    <row r="5" customFormat="false" ht="14.25" hidden="false" customHeight="false" outlineLevel="0" collapsed="false">
      <c r="A5" s="3" t="s">
        <v>3</v>
      </c>
    </row>
    <row r="7" customFormat="false" ht="14.25" hidden="false" customHeight="false" outlineLevel="0" collapsed="false">
      <c r="A7" s="4" t="s">
        <v>4</v>
      </c>
    </row>
    <row r="8" customFormat="false" ht="14.25" hidden="false" customHeight="false" outlineLevel="0" collapsed="false">
      <c r="A8" s="3" t="s">
        <v>5</v>
      </c>
    </row>
    <row r="9" customFormat="false" ht="14.25" hidden="false" customHeight="false" outlineLevel="0" collapsed="false">
      <c r="A9" s="3" t="s">
        <v>6</v>
      </c>
    </row>
    <row r="10" customFormat="false" ht="14.25" hidden="false" customHeight="false" outlineLevel="0" collapsed="false">
      <c r="A10" s="3" t="s">
        <v>7</v>
      </c>
    </row>
    <row r="11" customFormat="false" ht="14.25" hidden="false" customHeight="false" outlineLevel="0" collapsed="false">
      <c r="A11" s="3" t="s">
        <v>8</v>
      </c>
    </row>
    <row r="13" customFormat="false" ht="14.25" hidden="false" customHeight="false" outlineLevel="0" collapsed="false">
      <c r="A13" s="4" t="s">
        <v>9</v>
      </c>
    </row>
    <row r="15" customFormat="false" ht="14.25" hidden="false" customHeight="false" outlineLevel="0" collapsed="false">
      <c r="A15" s="3" t="s">
        <v>10</v>
      </c>
    </row>
    <row r="16" customFormat="false" ht="14.25" hidden="false" customHeight="false" outlineLevel="0" collapsed="false">
      <c r="A16" s="3" t="s">
        <v>11</v>
      </c>
    </row>
    <row r="17" customFormat="false" ht="14.25" hidden="false" customHeight="false" outlineLevel="0" collapsed="false">
      <c r="A17" s="3" t="s">
        <v>12</v>
      </c>
    </row>
    <row r="18" customFormat="false" ht="14.25" hidden="false" customHeight="false" outlineLevel="0" collapsed="false">
      <c r="A18" s="3" t="s">
        <v>13</v>
      </c>
    </row>
    <row r="19" customFormat="false" ht="14.25" hidden="false" customHeight="false" outlineLevel="0" collapsed="false">
      <c r="A19" s="3" t="s">
        <v>14</v>
      </c>
    </row>
    <row r="20" customFormat="false" ht="14.25" hidden="false" customHeight="false" outlineLevel="0" collapsed="false">
      <c r="A20" s="3" t="s">
        <v>15</v>
      </c>
    </row>
    <row r="21" customFormat="false" ht="14.25" hidden="false" customHeight="false" outlineLevel="0" collapsed="false">
      <c r="A21" s="3" t="s">
        <v>16</v>
      </c>
    </row>
    <row r="22" customFormat="false" ht="14.25" hidden="false" customHeight="false" outlineLevel="0" collapsed="false">
      <c r="A22" s="3" t="s">
        <v>17</v>
      </c>
    </row>
    <row r="23" customFormat="false" ht="14.25" hidden="false" customHeight="false" outlineLevel="0" collapsed="false">
      <c r="A23" s="3" t="s">
        <v>18</v>
      </c>
    </row>
    <row r="24" customFormat="false" ht="14.25" hidden="false" customHeight="false" outlineLevel="0" collapsed="false">
      <c r="A24" s="3" t="s">
        <v>19</v>
      </c>
    </row>
    <row r="25" customFormat="false" ht="14.25" hidden="false" customHeight="false" outlineLevel="0" collapsed="false">
      <c r="A25" s="3" t="s">
        <v>20</v>
      </c>
    </row>
    <row r="26" customFormat="false" ht="14.25" hidden="false" customHeight="false" outlineLevel="0" collapsed="false">
      <c r="A26" s="3" t="s">
        <v>21</v>
      </c>
    </row>
    <row r="27" customFormat="false" ht="14.25" hidden="false" customHeight="false" outlineLevel="0" collapsed="false">
      <c r="A27" s="3" t="s">
        <v>22</v>
      </c>
    </row>
    <row r="28" customFormat="false" ht="14.25" hidden="false" customHeight="false" outlineLevel="0" collapsed="false">
      <c r="A28" s="3" t="s">
        <v>23</v>
      </c>
    </row>
    <row r="29" customFormat="false" ht="14.25" hidden="false" customHeight="false" outlineLevel="0" collapsed="false">
      <c r="A29" s="3" t="s">
        <v>24</v>
      </c>
    </row>
    <row r="30" customFormat="false" ht="14.25" hidden="false" customHeight="false" outlineLevel="0" collapsed="false">
      <c r="A30" s="3" t="s">
        <v>25</v>
      </c>
    </row>
    <row r="31" customFormat="false" ht="14.25" hidden="false" customHeight="false" outlineLevel="0" collapsed="false">
      <c r="A31" s="3" t="s">
        <v>26</v>
      </c>
    </row>
    <row r="33" customFormat="false" ht="14.25" hidden="false" customHeight="false" outlineLevel="0" collapsed="false">
      <c r="A33" s="4" t="s">
        <v>27</v>
      </c>
    </row>
    <row r="34" customFormat="false" ht="14.25" hidden="false" customHeight="false" outlineLevel="0" collapsed="false">
      <c r="A34" s="3" t="s">
        <v>28</v>
      </c>
    </row>
    <row r="35" customFormat="false" ht="14.25" hidden="false" customHeight="false" outlineLevel="0" collapsed="false">
      <c r="A35" s="3" t="s">
        <v>29</v>
      </c>
    </row>
    <row r="36" customFormat="false" ht="14.25" hidden="false" customHeight="false" outlineLevel="0" collapsed="false">
      <c r="A36" s="3" t="s">
        <v>30</v>
      </c>
    </row>
    <row r="37" customFormat="false" ht="14.25" hidden="false" customHeight="false" outlineLevel="0" collapsed="false">
      <c r="A37" s="3" t="s">
        <v>31</v>
      </c>
    </row>
    <row r="39" customFormat="false" ht="14.25" hidden="false" customHeight="false" outlineLevel="0" collapsed="false">
      <c r="A39" s="3" t="s">
        <v>32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true" showOutlineSymbols="true" defaultGridColor="true" view="normal" topLeftCell="A1" colorId="64" zoomScale="63" zoomScaleNormal="63" zoomScalePageLayoutView="100" workbookViewId="0">
      <pane xSplit="0" ySplit="1" topLeftCell="A3" activePane="bottomLeft" state="frozen"/>
      <selection pane="topLeft" activeCell="A1" activeCellId="0" sqref="A1"/>
      <selection pane="bottomLeft" activeCell="C9" activeCellId="0" sqref="C9"/>
    </sheetView>
  </sheetViews>
  <sheetFormatPr defaultColWidth="8.88671875" defaultRowHeight="14.2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0"/>
    <col collapsed="false" customWidth="true" hidden="false" outlineLevel="0" max="3" min="3" style="0" width="40"/>
    <col collapsed="false" customWidth="true" hidden="false" outlineLevel="0" max="4" min="4" style="0" width="15"/>
    <col collapsed="false" customWidth="true" hidden="false" outlineLevel="0" max="6" min="5" style="0" width="20"/>
    <col collapsed="false" customWidth="true" hidden="false" outlineLevel="0" max="7" min="7" style="0" width="10"/>
    <col collapsed="false" customWidth="true" hidden="false" outlineLevel="0" max="8" min="8" style="0" width="30"/>
  </cols>
  <sheetData>
    <row r="1" customFormat="false" ht="14.25" hidden="false" customHeight="false" outlineLevel="0" collapsed="false">
      <c r="A1" s="5" t="s">
        <v>33</v>
      </c>
      <c r="B1" s="5" t="s">
        <v>34</v>
      </c>
      <c r="C1" s="5" t="s">
        <v>35</v>
      </c>
      <c r="D1" s="5" t="s">
        <v>36</v>
      </c>
      <c r="E1" s="5" t="s">
        <v>37</v>
      </c>
      <c r="F1" s="5" t="s">
        <v>38</v>
      </c>
      <c r="G1" s="5" t="s">
        <v>39</v>
      </c>
      <c r="H1" s="5" t="s">
        <v>40</v>
      </c>
    </row>
    <row r="2" customFormat="false" ht="57" hidden="false" customHeight="true" outlineLevel="0" collapsed="false">
      <c r="A2" s="6" t="s">
        <v>41</v>
      </c>
      <c r="B2" s="6" t="s">
        <v>42</v>
      </c>
      <c r="C2" s="6" t="s">
        <v>43</v>
      </c>
      <c r="D2" s="6" t="s">
        <v>44</v>
      </c>
      <c r="E2" s="6" t="s">
        <v>45</v>
      </c>
      <c r="F2" s="6" t="s">
        <v>46</v>
      </c>
      <c r="G2" s="6" t="s">
        <v>47</v>
      </c>
      <c r="H2" s="6" t="s">
        <v>48</v>
      </c>
    </row>
    <row r="3" customFormat="false" ht="61.5" hidden="false" customHeight="true" outlineLevel="0" collapsed="false">
      <c r="A3" s="6" t="s">
        <v>49</v>
      </c>
      <c r="B3" s="6" t="s">
        <v>50</v>
      </c>
      <c r="C3" s="6" t="s">
        <v>51</v>
      </c>
      <c r="D3" s="7" t="s">
        <v>44</v>
      </c>
      <c r="E3" s="7" t="s">
        <v>45</v>
      </c>
      <c r="F3" s="6" t="s">
        <v>46</v>
      </c>
      <c r="G3" s="6" t="s">
        <v>47</v>
      </c>
      <c r="H3" s="6" t="s">
        <v>52</v>
      </c>
    </row>
    <row r="4" customFormat="false" ht="72" hidden="false" customHeight="true" outlineLevel="0" collapsed="false">
      <c r="A4" s="6" t="s">
        <v>53</v>
      </c>
      <c r="B4" s="6" t="s">
        <v>54</v>
      </c>
      <c r="C4" s="6" t="s">
        <v>55</v>
      </c>
      <c r="D4" s="7" t="s">
        <v>44</v>
      </c>
      <c r="E4" s="7" t="s">
        <v>45</v>
      </c>
      <c r="F4" s="6" t="s">
        <v>46</v>
      </c>
      <c r="G4" s="6" t="s">
        <v>47</v>
      </c>
      <c r="H4" s="6" t="s">
        <v>56</v>
      </c>
    </row>
    <row r="5" customFormat="false" ht="57" hidden="false" customHeight="true" outlineLevel="0" collapsed="false">
      <c r="A5" s="6" t="s">
        <v>57</v>
      </c>
      <c r="B5" s="6" t="s">
        <v>58</v>
      </c>
      <c r="C5" s="6" t="s">
        <v>59</v>
      </c>
      <c r="D5" s="7" t="s">
        <v>44</v>
      </c>
      <c r="E5" s="7" t="s">
        <v>60</v>
      </c>
      <c r="F5" s="6" t="s">
        <v>46</v>
      </c>
      <c r="G5" s="6" t="s">
        <v>47</v>
      </c>
      <c r="H5" s="6" t="s">
        <v>61</v>
      </c>
    </row>
    <row r="6" customFormat="false" ht="57" hidden="false" customHeight="true" outlineLevel="0" collapsed="false">
      <c r="A6" s="6" t="s">
        <v>62</v>
      </c>
      <c r="B6" s="6" t="s">
        <v>63</v>
      </c>
      <c r="C6" s="6" t="s">
        <v>64</v>
      </c>
      <c r="D6" s="7" t="s">
        <v>44</v>
      </c>
      <c r="E6" s="7" t="s">
        <v>60</v>
      </c>
      <c r="F6" s="6" t="s">
        <v>46</v>
      </c>
      <c r="G6" s="6" t="s">
        <v>47</v>
      </c>
      <c r="H6" s="6" t="s">
        <v>65</v>
      </c>
    </row>
    <row r="7" customFormat="false" ht="72" hidden="false" customHeight="true" outlineLevel="0" collapsed="false">
      <c r="A7" s="6" t="s">
        <v>66</v>
      </c>
      <c r="B7" s="6" t="s">
        <v>67</v>
      </c>
      <c r="C7" s="6" t="s">
        <v>68</v>
      </c>
      <c r="D7" s="7" t="s">
        <v>44</v>
      </c>
      <c r="E7" s="7" t="s">
        <v>60</v>
      </c>
      <c r="F7" s="6" t="s">
        <v>69</v>
      </c>
      <c r="G7" s="6" t="s">
        <v>47</v>
      </c>
      <c r="H7" s="6" t="s">
        <v>70</v>
      </c>
    </row>
    <row r="8" customFormat="false" ht="72" hidden="false" customHeight="true" outlineLevel="0" collapsed="false">
      <c r="A8" s="8" t="s">
        <v>71</v>
      </c>
      <c r="B8" s="8" t="s">
        <v>72</v>
      </c>
      <c r="C8" s="8" t="s">
        <v>73</v>
      </c>
      <c r="D8" s="9" t="s">
        <v>74</v>
      </c>
      <c r="E8" s="9" t="s">
        <v>60</v>
      </c>
      <c r="F8" s="8" t="s">
        <v>75</v>
      </c>
      <c r="G8" s="8" t="s">
        <v>47</v>
      </c>
      <c r="H8" s="8" t="s">
        <v>76</v>
      </c>
    </row>
    <row r="9" customFormat="false" ht="57" hidden="false" customHeight="true" outlineLevel="0" collapsed="false">
      <c r="A9" s="8" t="s">
        <v>77</v>
      </c>
      <c r="B9" s="8" t="s">
        <v>78</v>
      </c>
      <c r="C9" s="8" t="s">
        <v>79</v>
      </c>
      <c r="D9" s="9" t="s">
        <v>74</v>
      </c>
      <c r="E9" s="9" t="s">
        <v>60</v>
      </c>
      <c r="F9" s="8" t="s">
        <v>75</v>
      </c>
      <c r="G9" s="8" t="s">
        <v>47</v>
      </c>
      <c r="H9" s="8" t="s">
        <v>80</v>
      </c>
    </row>
    <row r="10" customFormat="false" ht="57" hidden="false" customHeight="true" outlineLevel="0" collapsed="false">
      <c r="A10" s="6" t="s">
        <v>81</v>
      </c>
      <c r="B10" s="6" t="s">
        <v>82</v>
      </c>
      <c r="C10" s="6" t="s">
        <v>83</v>
      </c>
      <c r="D10" s="7" t="s">
        <v>44</v>
      </c>
      <c r="E10" s="7" t="s">
        <v>60</v>
      </c>
      <c r="F10" s="6" t="s">
        <v>46</v>
      </c>
      <c r="G10" s="6" t="s">
        <v>47</v>
      </c>
      <c r="H10" s="6" t="s">
        <v>84</v>
      </c>
    </row>
    <row r="11" customFormat="false" ht="42.75" hidden="false" customHeight="true" outlineLevel="0" collapsed="false">
      <c r="A11" s="10" t="s">
        <v>85</v>
      </c>
      <c r="B11" s="10" t="s">
        <v>86</v>
      </c>
      <c r="C11" s="10" t="s">
        <v>87</v>
      </c>
      <c r="D11" s="11" t="s">
        <v>88</v>
      </c>
      <c r="E11" s="11" t="s">
        <v>89</v>
      </c>
      <c r="F11" s="10" t="s">
        <v>46</v>
      </c>
      <c r="G11" s="10" t="s">
        <v>47</v>
      </c>
      <c r="H11" s="10" t="s">
        <v>90</v>
      </c>
    </row>
  </sheetData>
  <autoFilter ref="A1:H100"/>
  <dataValidations count="2">
    <dataValidation allowBlank="false" errorStyle="stop" operator="between" showDropDown="false" showErrorMessage="false" showInputMessage="false" sqref="D3:E11 C12:D17 D18:E100" type="list">
      <formula1>"Must have,Should have,Could have,Won't have"</formula1>
      <formula2>0</formula2>
    </dataValidation>
    <dataValidation allowBlank="false" errorStyle="stop" operator="between" showDropDown="false" showErrorMessage="false" showInputMessage="false" sqref="F3:F11 E12:F17 F18:G100" type="list">
      <formula1>"Propuesto,En revisión,Validado internamente,Validado con cliente,Rechazado"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53" zoomScaleNormal="53" zoomScalePageLayoutView="100" workbookViewId="0">
      <pane xSplit="0" ySplit="1" topLeftCell="A2" activePane="bottomLeft" state="frozen"/>
      <selection pane="topLeft" activeCell="A1" activeCellId="0" sqref="A1"/>
      <selection pane="bottomLeft" activeCell="D3" activeCellId="0" sqref="D3"/>
    </sheetView>
  </sheetViews>
  <sheetFormatPr defaultColWidth="8.88671875" defaultRowHeight="14.2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5"/>
    <col collapsed="false" customWidth="true" hidden="false" outlineLevel="0" max="3" min="3" style="0" width="45"/>
    <col collapsed="false" customWidth="true" hidden="false" outlineLevel="0" max="4" min="4" style="0" width="35"/>
    <col collapsed="false" customWidth="true" hidden="false" outlineLevel="0" max="5" min="5" style="0" width="15"/>
    <col collapsed="false" customWidth="true" hidden="false" outlineLevel="0" max="7" min="6" style="0" width="20"/>
    <col collapsed="false" customWidth="true" hidden="false" outlineLevel="0" max="8" min="8" style="0" width="10"/>
    <col collapsed="false" customWidth="true" hidden="false" outlineLevel="0" max="9" min="9" style="0" width="30"/>
  </cols>
  <sheetData>
    <row r="1" customFormat="false" ht="14.25" hidden="false" customHeight="false" outlineLevel="0" collapsed="false">
      <c r="A1" s="5" t="s">
        <v>33</v>
      </c>
      <c r="B1" s="5" t="s">
        <v>91</v>
      </c>
      <c r="C1" s="5" t="s">
        <v>34</v>
      </c>
      <c r="D1" s="5" t="s">
        <v>35</v>
      </c>
      <c r="E1" s="5" t="s">
        <v>36</v>
      </c>
      <c r="F1" s="5" t="s">
        <v>37</v>
      </c>
      <c r="G1" s="5" t="s">
        <v>38</v>
      </c>
      <c r="H1" s="5" t="s">
        <v>39</v>
      </c>
      <c r="I1" s="5" t="s">
        <v>40</v>
      </c>
    </row>
    <row r="2" customFormat="false" ht="86.25" hidden="false" customHeight="true" outlineLevel="0" collapsed="false">
      <c r="A2" s="6" t="s">
        <v>92</v>
      </c>
      <c r="B2" s="6" t="s">
        <v>93</v>
      </c>
      <c r="C2" s="6" t="s">
        <v>94</v>
      </c>
      <c r="D2" s="6" t="s">
        <v>95</v>
      </c>
      <c r="E2" s="6" t="s">
        <v>44</v>
      </c>
      <c r="F2" s="6" t="s">
        <v>60</v>
      </c>
      <c r="G2" s="6" t="s">
        <v>75</v>
      </c>
      <c r="H2" s="6" t="s">
        <v>96</v>
      </c>
      <c r="I2" s="6" t="s">
        <v>97</v>
      </c>
    </row>
    <row r="3" customFormat="false" ht="100.5" hidden="false" customHeight="true" outlineLevel="0" collapsed="false">
      <c r="A3" s="6" t="s">
        <v>98</v>
      </c>
      <c r="B3" s="6" t="s">
        <v>99</v>
      </c>
      <c r="C3" s="6" t="s">
        <v>100</v>
      </c>
      <c r="D3" s="6" t="s">
        <v>101</v>
      </c>
      <c r="E3" s="7" t="s">
        <v>44</v>
      </c>
      <c r="F3" s="7" t="s">
        <v>60</v>
      </c>
      <c r="G3" s="6" t="s">
        <v>46</v>
      </c>
      <c r="H3" s="6" t="s">
        <v>102</v>
      </c>
      <c r="I3" s="6" t="s">
        <v>103</v>
      </c>
    </row>
    <row r="4" customFormat="false" ht="100.5" hidden="false" customHeight="true" outlineLevel="0" collapsed="false">
      <c r="A4" s="6" t="s">
        <v>104</v>
      </c>
      <c r="B4" s="6" t="s">
        <v>105</v>
      </c>
      <c r="C4" s="6" t="s">
        <v>106</v>
      </c>
      <c r="D4" s="6" t="s">
        <v>107</v>
      </c>
      <c r="E4" s="7" t="s">
        <v>44</v>
      </c>
      <c r="F4" s="7" t="s">
        <v>60</v>
      </c>
      <c r="G4" s="6" t="s">
        <v>46</v>
      </c>
      <c r="H4" s="6" t="s">
        <v>108</v>
      </c>
      <c r="I4" s="6" t="s">
        <v>109</v>
      </c>
    </row>
    <row r="5" customFormat="false" ht="100.5" hidden="false" customHeight="true" outlineLevel="0" collapsed="false">
      <c r="A5" s="8" t="s">
        <v>110</v>
      </c>
      <c r="B5" s="8" t="s">
        <v>111</v>
      </c>
      <c r="C5" s="8" t="s">
        <v>112</v>
      </c>
      <c r="D5" s="8" t="s">
        <v>113</v>
      </c>
      <c r="E5" s="9" t="s">
        <v>74</v>
      </c>
      <c r="F5" s="9" t="s">
        <v>45</v>
      </c>
      <c r="G5" s="8" t="s">
        <v>75</v>
      </c>
      <c r="H5" s="8" t="s">
        <v>114</v>
      </c>
      <c r="I5" s="8" t="s">
        <v>115</v>
      </c>
    </row>
    <row r="6" customFormat="false" ht="100.5" hidden="false" customHeight="true" outlineLevel="0" collapsed="false">
      <c r="A6" s="8" t="s">
        <v>116</v>
      </c>
      <c r="B6" s="8" t="s">
        <v>93</v>
      </c>
      <c r="C6" s="8" t="s">
        <v>117</v>
      </c>
      <c r="D6" s="8" t="s">
        <v>118</v>
      </c>
      <c r="E6" s="9" t="s">
        <v>74</v>
      </c>
      <c r="F6" s="9" t="s">
        <v>60</v>
      </c>
      <c r="G6" s="8" t="s">
        <v>46</v>
      </c>
      <c r="H6" s="8" t="s">
        <v>119</v>
      </c>
      <c r="I6" s="8" t="s">
        <v>120</v>
      </c>
    </row>
    <row r="7" customFormat="false" ht="14.25" hidden="false" customHeight="false" outlineLevel="0" collapsed="false">
      <c r="A7" s="3"/>
    </row>
    <row r="8" customFormat="false" ht="14.25" hidden="false" customHeight="false" outlineLevel="0" collapsed="false">
      <c r="A8" s="3"/>
      <c r="B8" s="12"/>
    </row>
    <row r="9" customFormat="false" ht="14.25" hidden="false" customHeight="false" outlineLevel="0" collapsed="false">
      <c r="A9" s="3"/>
    </row>
    <row r="10" customFormat="false" ht="14.25" hidden="false" customHeight="false" outlineLevel="0" collapsed="false">
      <c r="A10" s="3"/>
    </row>
    <row r="11" customFormat="false" ht="14.25" hidden="false" customHeight="false" outlineLevel="0" collapsed="false">
      <c r="A11" s="3"/>
    </row>
  </sheetData>
  <autoFilter ref="A1:I100"/>
  <dataValidations count="3">
    <dataValidation allowBlank="false" errorStyle="stop" operator="between" showDropDown="false" showErrorMessage="false" showInputMessage="false" sqref="B7:B100" type="list">
      <formula1>"Usabilidad,Rendimiento,Seguridad,Confiabilidad,Portabilidad,Mantenibilidad,Disponibilidad"</formula1>
      <formula2>0</formula2>
    </dataValidation>
    <dataValidation allowBlank="false" errorStyle="stop" operator="between" showDropDown="false" showErrorMessage="false" showInputMessage="false" sqref="E3:E6 D7:E100" type="list">
      <formula1>"Must have,Should have,Could have,Won't have"</formula1>
      <formula2>0</formula2>
    </dataValidation>
    <dataValidation allowBlank="false" errorStyle="stop" operator="between" showDropDown="false" showErrorMessage="false" showInputMessage="false" sqref="F3:F6 F7:G100" type="list">
      <formula1>"Propuesto,En revisión,Validado internamente,Validado con cliente,Rechazado"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B12" activeCellId="0" sqref="B12"/>
    </sheetView>
  </sheetViews>
  <sheetFormatPr defaultColWidth="8.88671875" defaultRowHeight="14.2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0"/>
  </cols>
  <sheetData>
    <row r="1" customFormat="false" ht="21" hidden="false" customHeight="true" outlineLevel="0" collapsed="false">
      <c r="A1" s="1" t="s">
        <v>121</v>
      </c>
      <c r="B1" s="1"/>
      <c r="C1" s="1"/>
      <c r="D1" s="1"/>
    </row>
    <row r="3" customFormat="false" ht="14.25" hidden="false" customHeight="false" outlineLevel="0" collapsed="false">
      <c r="A3" s="13" t="s">
        <v>122</v>
      </c>
      <c r="B3" s="13"/>
      <c r="C3" s="13"/>
      <c r="D3" s="13"/>
    </row>
    <row r="5" customFormat="false" ht="14.25" hidden="false" customHeight="false" outlineLevel="0" collapsed="false">
      <c r="A5" s="14" t="s">
        <v>123</v>
      </c>
      <c r="B5" s="14" t="s">
        <v>124</v>
      </c>
    </row>
    <row r="6" customFormat="false" ht="14.25" hidden="false" customHeight="false" outlineLevel="0" collapsed="false">
      <c r="A6" s="0" t="s">
        <v>125</v>
      </c>
      <c r="B6" s="0" t="n">
        <f aca="false">COUNTA('RF - Funcionales'!A2:A100)</f>
        <v>10</v>
      </c>
    </row>
    <row r="7" customFormat="false" ht="14.25" hidden="false" customHeight="false" outlineLevel="0" collapsed="false">
      <c r="A7" s="0" t="s">
        <v>126</v>
      </c>
      <c r="B7" s="0" t="n">
        <f aca="false">COUNTA('RNF - No Funcionales'!A2:A100)</f>
        <v>5</v>
      </c>
    </row>
    <row r="8" customFormat="false" ht="14.25" hidden="false" customHeight="false" outlineLevel="0" collapsed="false">
      <c r="A8" s="0" t="s">
        <v>127</v>
      </c>
      <c r="B8" s="0" t="n">
        <f aca="false">B6+B7</f>
        <v>15</v>
      </c>
    </row>
    <row r="10" customFormat="false" ht="14.25" hidden="false" customHeight="false" outlineLevel="0" collapsed="false">
      <c r="A10" s="14" t="s">
        <v>128</v>
      </c>
    </row>
    <row r="11" customFormat="false" ht="14.25" hidden="false" customHeight="false" outlineLevel="0" collapsed="false">
      <c r="A11" s="0" t="s">
        <v>129</v>
      </c>
      <c r="B11" s="0" t="n">
        <f aca="false">COUNTIF('RF - Funcionales'!D:D,"Must have")+COUNTIF('RNF - No Funcionales'!E:E,"Must have")</f>
        <v>10</v>
      </c>
    </row>
    <row r="12" customFormat="false" ht="14.25" hidden="false" customHeight="false" outlineLevel="0" collapsed="false">
      <c r="A12" s="0" t="s">
        <v>130</v>
      </c>
      <c r="B12" s="0" t="n">
        <f aca="false">COUNTIF('RF - Funcionales'!D:D,"Should have")+COUNTIF('RNF - No Funcionales'!E:E,"Should have")</f>
        <v>4</v>
      </c>
    </row>
    <row r="13" customFormat="false" ht="14.25" hidden="false" customHeight="false" outlineLevel="0" collapsed="false">
      <c r="A13" s="0" t="s">
        <v>131</v>
      </c>
      <c r="B13" s="0" t="n">
        <f aca="false">COUNTIF('RF - Funcionales'!D:D,"Could have")+COUNTIF('RNF - No Funcionales'!E:E,"Could have")</f>
        <v>1</v>
      </c>
    </row>
    <row r="14" customFormat="false" ht="14.25" hidden="false" customHeight="false" outlineLevel="0" collapsed="false">
      <c r="A14" s="0" t="s">
        <v>132</v>
      </c>
      <c r="B14" s="0" t="n">
        <f aca="false">COUNTIF('RF - Funcionales'!D:D,"Won't have")+COUNTIF('RNF - No Funcionales'!E:E,"Won't have")</f>
        <v>0</v>
      </c>
    </row>
    <row r="16" customFormat="false" ht="14.25" hidden="false" customHeight="false" outlineLevel="0" collapsed="false">
      <c r="A16" s="14" t="s">
        <v>133</v>
      </c>
    </row>
    <row r="17" customFormat="false" ht="14.25" hidden="false" customHeight="false" outlineLevel="0" collapsed="false">
      <c r="A17" s="0" t="s">
        <v>46</v>
      </c>
      <c r="B17" s="0" t="n">
        <f aca="false">COUNTIF('RF - Funcionales'!F:F,"Propuesto")+COUNTIF('RNF - No Funcionales'!G:G,"Propuesto")</f>
        <v>10</v>
      </c>
    </row>
    <row r="18" customFormat="false" ht="14.25" hidden="false" customHeight="false" outlineLevel="0" collapsed="false">
      <c r="A18" s="0" t="s">
        <v>75</v>
      </c>
      <c r="B18" s="0" t="n">
        <f aca="false">COUNTIF('RF - Funcionales'!F:F,"En revisión")+COUNTIF('RNF - No Funcionales'!G:G,"En revisión")</f>
        <v>4</v>
      </c>
    </row>
    <row r="19" customFormat="false" ht="14.25" hidden="false" customHeight="false" outlineLevel="0" collapsed="false">
      <c r="A19" s="0" t="s">
        <v>69</v>
      </c>
      <c r="B19" s="0" t="n">
        <f aca="false">COUNTIF('RF - Funcionales'!F:F,"Validado internamente")+COUNTIF('RNF - No Funcionales'!G:G,"Validado internamente")</f>
        <v>1</v>
      </c>
    </row>
    <row r="20" customFormat="false" ht="14.25" hidden="false" customHeight="false" outlineLevel="0" collapsed="false">
      <c r="A20" s="0" t="s">
        <v>134</v>
      </c>
      <c r="B20" s="0" t="n">
        <f aca="false">COUNTIF('RF - Funcionales'!F:F,"Validado con cliente")+COUNTIF('RNF - No Funcionales'!G:G,"Validado con cliente")</f>
        <v>0</v>
      </c>
    </row>
    <row r="21" customFormat="false" ht="14.25" hidden="false" customHeight="false" outlineLevel="0" collapsed="false">
      <c r="A21" s="0" t="s">
        <v>135</v>
      </c>
      <c r="B21" s="0" t="n">
        <f aca="false">COUNTIF('RF - Funcionales'!F:F,"Rechazado")+COUNTIF('RNF - No Funcionales'!G:G,"Rechazado")</f>
        <v>0</v>
      </c>
    </row>
  </sheetData>
  <mergeCells count="2">
    <mergeCell ref="A1:D1"/>
    <mergeCell ref="A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2026-03-22T19:30:30Z</dcterms:created>
  <dc:creator>openpyxl</dc:creator>
  <dc:description/>
  <dc:language>en-US</dc:language>
  <cp:lastModifiedBy>SEBASTIAN ROMO FLORES</cp:lastModifiedBy>
  <dcterms:modified xsi:type="dcterms:W3CDTF">2026-05-12T17:42:29Z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